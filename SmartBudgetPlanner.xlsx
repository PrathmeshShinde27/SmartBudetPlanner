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thmesh\Prathmesh Documents\"/>
    </mc:Choice>
  </mc:AlternateContent>
  <xr:revisionPtr revIDLastSave="0" documentId="13_ncr:1_{7A74097E-E98B-4147-A800-8F14F3BEB3A1}" xr6:coauthVersionLast="47" xr6:coauthVersionMax="47" xr10:uidLastSave="{00000000-0000-0000-0000-000000000000}"/>
  <bookViews>
    <workbookView xWindow="-120" yWindow="-120" windowWidth="29040" windowHeight="15720" tabRatio="624" xr2:uid="{A0AF35E0-FE88-4F42-8914-D6734704B76E}"/>
  </bookViews>
  <sheets>
    <sheet name="April-2026" sheetId="28" r:id="rId1"/>
  </sheets>
  <definedNames>
    <definedName name="_xlnm._FilterDatabase" localSheetId="0" hidden="1">'April-2026'!$B$47:$F$47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8" l="1"/>
  <c r="I25" i="28" l="1"/>
  <c r="J25" i="28" s="1"/>
  <c r="D21" i="28"/>
  <c r="I21" i="28"/>
  <c r="I28" i="28"/>
  <c r="J28" i="28" s="1"/>
  <c r="E21" i="28"/>
  <c r="I23" i="28"/>
  <c r="J23" i="28" s="1"/>
  <c r="D24" i="28"/>
  <c r="E24" i="28" s="1"/>
  <c r="C16" i="28"/>
  <c r="H11" i="28" s="1"/>
  <c r="N36" i="28"/>
  <c r="J12" i="28" s="1"/>
  <c r="C36" i="28"/>
  <c r="I10" i="28" s="1"/>
  <c r="E22" i="28"/>
  <c r="E23" i="28"/>
  <c r="E35" i="28"/>
  <c r="E34" i="28"/>
  <c r="E33" i="28"/>
  <c r="E32" i="28"/>
  <c r="E31" i="28"/>
  <c r="E30" i="28"/>
  <c r="E29" i="28"/>
  <c r="E28" i="28"/>
  <c r="E27" i="28"/>
  <c r="E26" i="28"/>
  <c r="E25" i="28"/>
  <c r="J22" i="28"/>
  <c r="J24" i="28"/>
  <c r="J35" i="28"/>
  <c r="J34" i="28"/>
  <c r="J33" i="28"/>
  <c r="J32" i="28"/>
  <c r="J31" i="28"/>
  <c r="J30" i="28"/>
  <c r="J29" i="28"/>
  <c r="J27" i="28"/>
  <c r="J26" i="28"/>
  <c r="O21" i="28"/>
  <c r="O22" i="28"/>
  <c r="O23" i="28"/>
  <c r="O24" i="28"/>
  <c r="O35" i="28"/>
  <c r="O34" i="28"/>
  <c r="O33" i="28"/>
  <c r="O32" i="28"/>
  <c r="O31" i="28"/>
  <c r="O30" i="28"/>
  <c r="O29" i="28"/>
  <c r="O28" i="28"/>
  <c r="O27" i="28"/>
  <c r="O26" i="28"/>
  <c r="O25" i="28"/>
  <c r="H36" i="28"/>
  <c r="I11" i="28" s="1"/>
  <c r="M36" i="28"/>
  <c r="I12" i="28" s="1"/>
  <c r="E10" i="28"/>
  <c r="E11" i="28"/>
  <c r="E12" i="28"/>
  <c r="E13" i="28"/>
  <c r="E14" i="28"/>
  <c r="E15" i="28"/>
  <c r="D36" i="28" l="1"/>
  <c r="J10" i="28" s="1"/>
  <c r="O10" i="28" s="1"/>
  <c r="H10" i="28"/>
  <c r="M10" i="28" s="1"/>
  <c r="I36" i="28"/>
  <c r="J11" i="28" s="1"/>
  <c r="M11" i="28"/>
  <c r="H12" i="28"/>
  <c r="M12" i="28" s="1"/>
  <c r="J21" i="28"/>
  <c r="J36" i="28" s="1"/>
  <c r="N12" i="28"/>
  <c r="C39" i="28"/>
  <c r="N11" i="28"/>
  <c r="E36" i="28"/>
  <c r="O36" i="28"/>
  <c r="O12" i="28"/>
  <c r="E16" i="28"/>
  <c r="N10" i="28"/>
  <c r="J13" i="28"/>
  <c r="I13" i="28"/>
  <c r="O11" i="28"/>
  <c r="H13" i="28" l="1"/>
  <c r="H41" i="28" s="1"/>
  <c r="M13" i="28"/>
  <c r="N13" i="28"/>
  <c r="O13" i="28"/>
  <c r="M39" i="28"/>
  <c r="G41" i="28" l="1"/>
</calcChain>
</file>

<file path=xl/sharedStrings.xml><?xml version="1.0" encoding="utf-8"?>
<sst xmlns="http://schemas.openxmlformats.org/spreadsheetml/2006/main" count="82" uniqueCount="51">
  <si>
    <t>INCOME</t>
  </si>
  <si>
    <t>Category</t>
  </si>
  <si>
    <t>Budget</t>
  </si>
  <si>
    <t>Actual</t>
  </si>
  <si>
    <t>Difference</t>
  </si>
  <si>
    <t>Prathmesh</t>
  </si>
  <si>
    <t>Total</t>
  </si>
  <si>
    <t>NEEDS (50%)</t>
  </si>
  <si>
    <t>Groceries</t>
  </si>
  <si>
    <t>Electricity Bill</t>
  </si>
  <si>
    <t>EXPENSES SUMMERY</t>
  </si>
  <si>
    <t>Needs</t>
  </si>
  <si>
    <t>Wants</t>
  </si>
  <si>
    <t>Savings</t>
  </si>
  <si>
    <t>Monthly Goal</t>
  </si>
  <si>
    <t>Gas</t>
  </si>
  <si>
    <t>Fuel</t>
  </si>
  <si>
    <t>WANTS (30%)</t>
  </si>
  <si>
    <t>Gym (Membership &amp; Protines etc)</t>
  </si>
  <si>
    <t>SAVING (20%)</t>
  </si>
  <si>
    <t>Emergency Funds</t>
  </si>
  <si>
    <t>Mutual Funds (SIP)</t>
  </si>
  <si>
    <t>Pension (NPS)</t>
  </si>
  <si>
    <t>LIC (Jeevan Umang)</t>
  </si>
  <si>
    <t>LIC (SPI)</t>
  </si>
  <si>
    <t>PERCENTAGE BREAKDOWN</t>
  </si>
  <si>
    <t>Mobile Recharge</t>
  </si>
  <si>
    <t>50/30/20 Budget</t>
  </si>
  <si>
    <t>Final Leftover</t>
  </si>
  <si>
    <t>Saving Fund</t>
  </si>
  <si>
    <t>Total Difference</t>
  </si>
  <si>
    <t>Return</t>
  </si>
  <si>
    <t>Grooming</t>
  </si>
  <si>
    <t>Emergency Funds for 1 Year Needed In Bank</t>
  </si>
  <si>
    <t xml:space="preserve"> </t>
  </si>
  <si>
    <t>Miscellaneous Other</t>
  </si>
  <si>
    <t>Balance HDFC</t>
  </si>
  <si>
    <t xml:space="preserve">Hospital / Clinic / Medical </t>
  </si>
  <si>
    <t>Term Insurance EMI</t>
  </si>
  <si>
    <t>Shopping &amp; Cloths &amp; Accessories</t>
  </si>
  <si>
    <t>From Pratik</t>
  </si>
  <si>
    <t>From Aai</t>
  </si>
  <si>
    <t>From Pappa</t>
  </si>
  <si>
    <t>RE Bike EMI</t>
  </si>
  <si>
    <t>Liquid Fund SIP</t>
  </si>
  <si>
    <t>Pratik Dental EMI</t>
  </si>
  <si>
    <t>Online order/Takeaway</t>
  </si>
  <si>
    <t>Dining Out/Cafe</t>
  </si>
  <si>
    <t>Running Shoe</t>
  </si>
  <si>
    <t>Gold ETF</t>
  </si>
  <si>
    <t>Buy Website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</si>
</sst>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mmm/yyyy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49CA8"/>
        <bgColor indexed="64"/>
      </patternFill>
    </fill>
    <fill>
      <patternFill patternType="solid">
        <fgColor rgb="FFF7D5D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 vertical="center"/>
    </xf>
    <xf numFmtId="164" fontId="3" fillId="2" borderId="2" xfId="1" applyNumberFormat="1" applyFont="1" applyBorder="1" applyAlignment="1">
      <alignment horizontal="center" vertical="center"/>
    </xf>
    <xf numFmtId="164" fontId="2" fillId="3" borderId="1" xfId="2" applyNumberFormat="1" applyAlignment="1">
      <alignment horizontal="center" vertical="center" wrapText="1"/>
    </xf>
    <xf numFmtId="164" fontId="2" fillId="3" borderId="1" xfId="2" applyNumberForma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9" fillId="0" borderId="0" xfId="4" applyNumberFormat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/>
    </xf>
    <xf numFmtId="164" fontId="4" fillId="6" borderId="11" xfId="0" applyNumberFormat="1" applyFont="1" applyFill="1" applyBorder="1" applyAlignment="1">
      <alignment horizontal="center" vertical="center"/>
    </xf>
    <xf numFmtId="164" fontId="4" fillId="6" borderId="1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6" fillId="2" borderId="2" xfId="1" applyNumberFormat="1" applyFont="1" applyBorder="1" applyAlignment="1">
      <alignment horizontal="center" vertical="center"/>
    </xf>
    <xf numFmtId="164" fontId="3" fillId="2" borderId="3" xfId="1" applyNumberFormat="1" applyFont="1" applyBorder="1" applyAlignment="1">
      <alignment horizontal="center" vertical="center"/>
    </xf>
    <xf numFmtId="164" fontId="3" fillId="2" borderId="4" xfId="1" applyNumberFormat="1" applyFont="1" applyBorder="1" applyAlignment="1">
      <alignment horizontal="center" vertical="center"/>
    </xf>
    <xf numFmtId="164" fontId="3" fillId="2" borderId="5" xfId="1" applyNumberFormat="1" applyFont="1" applyBorder="1" applyAlignment="1">
      <alignment horizontal="center" vertical="center"/>
    </xf>
  </cellXfs>
  <cellStyles count="5">
    <cellStyle name="Good" xfId="1" builtinId="26"/>
    <cellStyle name="Hyperlink" xfId="4" builtinId="8"/>
    <cellStyle name="Normal" xfId="0" builtinId="0"/>
    <cellStyle name="Normal 2" xfId="3" xr:uid="{BCAFD626-BAF9-4D3F-A2C4-9ED4671FC92F}"/>
    <cellStyle name="Output" xfId="2" builtinId="21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7D5D5"/>
      <color rgb="FFD49CA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086B-5F54-4EC5-B3AD-62560E8CAB37}">
  <dimension ref="B1:P207"/>
  <sheetViews>
    <sheetView tabSelected="1" zoomScale="85" zoomScaleNormal="85" workbookViewId="0">
      <selection activeCell="G13" sqref="G13"/>
    </sheetView>
  </sheetViews>
  <sheetFormatPr defaultColWidth="9.140625" defaultRowHeight="15" x14ac:dyDescent="0.25"/>
  <cols>
    <col min="1" max="1" width="3.140625" style="3" customWidth="1"/>
    <col min="2" max="2" width="25.7109375" style="12" bestFit="1" customWidth="1"/>
    <col min="3" max="3" width="15.28515625" style="3" bestFit="1" customWidth="1"/>
    <col min="4" max="4" width="27" style="3" bestFit="1" customWidth="1"/>
    <col min="5" max="5" width="20.7109375" style="3" bestFit="1" customWidth="1"/>
    <col min="6" max="6" width="16.28515625" style="3" bestFit="1" customWidth="1"/>
    <col min="7" max="7" width="33.42578125" style="3" bestFit="1" customWidth="1"/>
    <col min="8" max="8" width="13.5703125" style="3" bestFit="1" customWidth="1"/>
    <col min="9" max="9" width="14.5703125" style="3" bestFit="1" customWidth="1"/>
    <col min="10" max="11" width="12" style="3" bestFit="1" customWidth="1"/>
    <col min="12" max="12" width="20.28515625" style="3" bestFit="1" customWidth="1"/>
    <col min="13" max="13" width="14.28515625" style="3" bestFit="1" customWidth="1"/>
    <col min="14" max="14" width="11.5703125" style="3" bestFit="1" customWidth="1"/>
    <col min="15" max="15" width="12.42578125" style="3" bestFit="1" customWidth="1"/>
    <col min="16" max="16" width="1.7109375" style="3" bestFit="1" customWidth="1"/>
    <col min="17" max="16384" width="9.140625" style="3"/>
  </cols>
  <sheetData>
    <row r="1" spans="2:15" x14ac:dyDescent="0.25">
      <c r="B1" s="3"/>
    </row>
    <row r="2" spans="2:15" x14ac:dyDescent="0.25">
      <c r="B2" s="17" t="s">
        <v>27</v>
      </c>
      <c r="C2" s="17"/>
      <c r="D2" s="17"/>
      <c r="E2" s="17"/>
    </row>
    <row r="3" spans="2:15" x14ac:dyDescent="0.25">
      <c r="B3" s="17"/>
      <c r="C3" s="17"/>
      <c r="D3" s="17"/>
      <c r="E3" s="17"/>
    </row>
    <row r="4" spans="2:15" x14ac:dyDescent="0.25">
      <c r="B4" s="18">
        <v>46082</v>
      </c>
      <c r="C4" s="18"/>
      <c r="D4" s="18"/>
      <c r="E4" s="18"/>
    </row>
    <row r="5" spans="2:15" x14ac:dyDescent="0.25">
      <c r="B5" s="18"/>
      <c r="C5" s="18"/>
      <c r="D5" s="18"/>
      <c r="E5" s="18"/>
    </row>
    <row r="6" spans="2:15" x14ac:dyDescent="0.25">
      <c r="B6" s="3"/>
    </row>
    <row r="7" spans="2:15" x14ac:dyDescent="0.25">
      <c r="B7" s="19" t="s">
        <v>0</v>
      </c>
      <c r="C7" s="19"/>
      <c r="D7" s="19"/>
      <c r="E7" s="19"/>
      <c r="G7" s="19" t="s">
        <v>10</v>
      </c>
      <c r="H7" s="19"/>
      <c r="I7" s="19"/>
      <c r="J7" s="19"/>
      <c r="L7" s="19" t="s">
        <v>25</v>
      </c>
      <c r="M7" s="19"/>
      <c r="N7" s="19"/>
      <c r="O7" s="19"/>
    </row>
    <row r="8" spans="2:15" x14ac:dyDescent="0.25">
      <c r="B8" s="19"/>
      <c r="C8" s="19"/>
      <c r="D8" s="19"/>
      <c r="E8" s="19"/>
      <c r="G8" s="19"/>
      <c r="H8" s="19"/>
      <c r="I8" s="19"/>
      <c r="J8" s="19"/>
      <c r="L8" s="19"/>
      <c r="M8" s="19"/>
      <c r="N8" s="19"/>
      <c r="O8" s="19"/>
    </row>
    <row r="9" spans="2:15" x14ac:dyDescent="0.25">
      <c r="B9" s="5" t="s">
        <v>1</v>
      </c>
      <c r="C9" s="5" t="s">
        <v>2</v>
      </c>
      <c r="D9" s="5" t="s">
        <v>3</v>
      </c>
      <c r="E9" s="5" t="s">
        <v>4</v>
      </c>
      <c r="G9" s="5" t="s">
        <v>1</v>
      </c>
      <c r="H9" s="5" t="s">
        <v>14</v>
      </c>
      <c r="I9" s="5" t="s">
        <v>2</v>
      </c>
      <c r="J9" s="5" t="s">
        <v>3</v>
      </c>
      <c r="L9" s="5" t="s">
        <v>1</v>
      </c>
      <c r="M9" s="5" t="s">
        <v>14</v>
      </c>
      <c r="N9" s="5" t="s">
        <v>2</v>
      </c>
      <c r="O9" s="5" t="s">
        <v>3</v>
      </c>
    </row>
    <row r="10" spans="2:15" x14ac:dyDescent="0.25">
      <c r="B10" s="1" t="s">
        <v>5</v>
      </c>
      <c r="C10" s="1">
        <v>57800</v>
      </c>
      <c r="D10" s="1">
        <v>57800</v>
      </c>
      <c r="E10" s="1">
        <f>C10-D10</f>
        <v>0</v>
      </c>
      <c r="G10" s="1" t="s">
        <v>11</v>
      </c>
      <c r="H10" s="1">
        <f>C16*50%</f>
        <v>37650</v>
      </c>
      <c r="I10" s="1">
        <f>C36</f>
        <v>39790</v>
      </c>
      <c r="J10" s="1">
        <f>D36</f>
        <v>2390.64</v>
      </c>
      <c r="L10" s="1" t="s">
        <v>11</v>
      </c>
      <c r="M10" s="2">
        <f>H10/C16</f>
        <v>0.5</v>
      </c>
      <c r="N10" s="2">
        <f>I10/C16</f>
        <v>0.52841965471447538</v>
      </c>
      <c r="O10" s="2">
        <f>J10/C16</f>
        <v>3.1748207171314741E-2</v>
      </c>
    </row>
    <row r="11" spans="2:15" x14ac:dyDescent="0.25">
      <c r="B11" s="1" t="s">
        <v>36</v>
      </c>
      <c r="C11" s="1">
        <v>500</v>
      </c>
      <c r="D11" s="1">
        <v>500</v>
      </c>
      <c r="E11" s="1">
        <f>C11-D11</f>
        <v>0</v>
      </c>
      <c r="G11" s="1" t="s">
        <v>12</v>
      </c>
      <c r="H11" s="1">
        <f>C16*30%</f>
        <v>22590</v>
      </c>
      <c r="I11" s="1">
        <f>H36</f>
        <v>9700</v>
      </c>
      <c r="J11" s="1">
        <f>I36</f>
        <v>4683.05</v>
      </c>
      <c r="L11" s="1" t="s">
        <v>12</v>
      </c>
      <c r="M11" s="2">
        <f>H11/C16</f>
        <v>0.3</v>
      </c>
      <c r="N11" s="2">
        <f>I11/C16</f>
        <v>0.12881806108897742</v>
      </c>
      <c r="O11" s="2">
        <f>J11/C16</f>
        <v>6.219189907038513E-2</v>
      </c>
    </row>
    <row r="12" spans="2:15" x14ac:dyDescent="0.25">
      <c r="B12" s="1" t="s">
        <v>40</v>
      </c>
      <c r="C12" s="11">
        <v>7000</v>
      </c>
      <c r="D12" s="11"/>
      <c r="E12" s="1">
        <f>C12-D12</f>
        <v>7000</v>
      </c>
      <c r="G12" s="1" t="s">
        <v>13</v>
      </c>
      <c r="H12" s="1">
        <f>C16*20%</f>
        <v>15060</v>
      </c>
      <c r="I12" s="1">
        <f>M36</f>
        <v>20800</v>
      </c>
      <c r="J12" s="1">
        <f>N36</f>
        <v>4500</v>
      </c>
      <c r="L12" s="1" t="s">
        <v>13</v>
      </c>
      <c r="M12" s="2">
        <f>H12/C16</f>
        <v>0.2</v>
      </c>
      <c r="N12" s="2">
        <f>I12/C16</f>
        <v>0.27622841965471445</v>
      </c>
      <c r="O12" s="2">
        <f>J12/C16</f>
        <v>5.9760956175298807E-2</v>
      </c>
    </row>
    <row r="13" spans="2:15" x14ac:dyDescent="0.25">
      <c r="B13" s="1" t="s">
        <v>41</v>
      </c>
      <c r="C13" s="15">
        <v>5000</v>
      </c>
      <c r="D13" s="15"/>
      <c r="E13" s="1">
        <f>C13-D13</f>
        <v>5000</v>
      </c>
      <c r="G13" s="1" t="s">
        <v>6</v>
      </c>
      <c r="H13" s="1">
        <f>SUM(H10:H12)</f>
        <v>75300</v>
      </c>
      <c r="I13" s="1">
        <f>SUM(I10:I12)</f>
        <v>70290</v>
      </c>
      <c r="J13" s="1">
        <f>SUM(J10:J12)</f>
        <v>11573.69</v>
      </c>
      <c r="L13" s="1" t="s">
        <v>6</v>
      </c>
      <c r="M13" s="2">
        <f>SUM(M10:M12)</f>
        <v>1</v>
      </c>
      <c r="N13" s="2">
        <f>SUM(N10:N12)</f>
        <v>0.93346613545816726</v>
      </c>
      <c r="O13" s="2">
        <f>SUM(O10:O12)</f>
        <v>0.15370106241699868</v>
      </c>
    </row>
    <row r="14" spans="2:15" x14ac:dyDescent="0.25">
      <c r="B14" s="1" t="s">
        <v>42</v>
      </c>
      <c r="C14" s="15">
        <v>5000</v>
      </c>
      <c r="D14" s="15"/>
      <c r="E14" s="1">
        <f>C14-D14</f>
        <v>5000</v>
      </c>
      <c r="M14" s="13"/>
      <c r="N14" s="13"/>
      <c r="O14" s="13"/>
    </row>
    <row r="15" spans="2:15" x14ac:dyDescent="0.25">
      <c r="B15" s="1" t="s">
        <v>31</v>
      </c>
      <c r="C15" s="1">
        <v>0</v>
      </c>
      <c r="D15" s="1"/>
      <c r="E15" s="1">
        <f>C15-D15</f>
        <v>0</v>
      </c>
      <c r="M15" s="13"/>
      <c r="N15" s="13"/>
      <c r="O15" s="13"/>
    </row>
    <row r="16" spans="2:15" x14ac:dyDescent="0.25">
      <c r="B16" s="1" t="s">
        <v>6</v>
      </c>
      <c r="C16" s="1">
        <f>SUM(C10:C15)</f>
        <v>75300</v>
      </c>
      <c r="D16" s="1">
        <f>SUM(D10:D15)</f>
        <v>58300</v>
      </c>
      <c r="E16" s="1">
        <f>SUM(E10:E15)</f>
        <v>17000</v>
      </c>
      <c r="M16" s="13"/>
      <c r="N16" s="13"/>
      <c r="O16" s="13"/>
    </row>
    <row r="17" spans="2:16" x14ac:dyDescent="0.25">
      <c r="B17" s="3"/>
    </row>
    <row r="18" spans="2:16" x14ac:dyDescent="0.25">
      <c r="B18" s="20" t="s">
        <v>7</v>
      </c>
      <c r="C18" s="21"/>
      <c r="D18" s="21"/>
      <c r="E18" s="22"/>
      <c r="G18" s="26" t="s">
        <v>17</v>
      </c>
      <c r="H18" s="26"/>
      <c r="I18" s="26"/>
      <c r="J18" s="26"/>
      <c r="L18" s="26" t="s">
        <v>19</v>
      </c>
      <c r="M18" s="26"/>
      <c r="N18" s="26"/>
      <c r="O18" s="26"/>
    </row>
    <row r="19" spans="2:16" x14ac:dyDescent="0.25">
      <c r="B19" s="23"/>
      <c r="C19" s="24"/>
      <c r="D19" s="24"/>
      <c r="E19" s="25"/>
      <c r="G19" s="26"/>
      <c r="H19" s="26"/>
      <c r="I19" s="26"/>
      <c r="J19" s="26"/>
      <c r="L19" s="26"/>
      <c r="M19" s="26"/>
      <c r="N19" s="26"/>
      <c r="O19" s="26"/>
    </row>
    <row r="20" spans="2:16" x14ac:dyDescent="0.25">
      <c r="B20" s="4" t="s">
        <v>1</v>
      </c>
      <c r="C20" s="4" t="s">
        <v>2</v>
      </c>
      <c r="D20" s="4" t="s">
        <v>3</v>
      </c>
      <c r="E20" s="4" t="s">
        <v>4</v>
      </c>
      <c r="G20" s="4" t="s">
        <v>1</v>
      </c>
      <c r="H20" s="4" t="s">
        <v>2</v>
      </c>
      <c r="I20" s="4" t="s">
        <v>3</v>
      </c>
      <c r="J20" s="4" t="s">
        <v>4</v>
      </c>
      <c r="L20" s="4" t="s">
        <v>1</v>
      </c>
      <c r="M20" s="4" t="s">
        <v>2</v>
      </c>
      <c r="N20" s="4" t="s">
        <v>3</v>
      </c>
      <c r="O20" s="4" t="s">
        <v>4</v>
      </c>
    </row>
    <row r="21" spans="2:16" x14ac:dyDescent="0.25">
      <c r="B21" s="1" t="s">
        <v>8</v>
      </c>
      <c r="C21" s="1">
        <v>5000</v>
      </c>
      <c r="D21" s="1">
        <f>320+753+100+80</f>
        <v>1253</v>
      </c>
      <c r="E21" s="1">
        <f t="shared" ref="E21:E35" si="0">C21-D21</f>
        <v>3747</v>
      </c>
      <c r="G21" s="1" t="s">
        <v>47</v>
      </c>
      <c r="H21" s="1">
        <v>1000</v>
      </c>
      <c r="I21" s="1">
        <f>240+326.52</f>
        <v>566.52</v>
      </c>
      <c r="J21" s="1">
        <f t="shared" ref="J21:J35" si="1">H21-I21</f>
        <v>433.48</v>
      </c>
      <c r="L21" s="1" t="s">
        <v>23</v>
      </c>
      <c r="M21" s="1">
        <v>10300</v>
      </c>
      <c r="N21" s="1"/>
      <c r="O21" s="1">
        <f t="shared" ref="O21:O35" si="2">M21-N21</f>
        <v>10300</v>
      </c>
    </row>
    <row r="22" spans="2:16" x14ac:dyDescent="0.25">
      <c r="B22" s="1" t="s">
        <v>9</v>
      </c>
      <c r="C22" s="1">
        <v>1000</v>
      </c>
      <c r="D22" s="1">
        <v>860.64</v>
      </c>
      <c r="E22" s="1">
        <f t="shared" si="0"/>
        <v>139.36000000000001</v>
      </c>
      <c r="G22" s="1" t="s">
        <v>46</v>
      </c>
      <c r="H22" s="1">
        <v>1000</v>
      </c>
      <c r="I22" s="1"/>
      <c r="J22" s="1">
        <f t="shared" si="1"/>
        <v>1000</v>
      </c>
      <c r="L22" s="1" t="s">
        <v>24</v>
      </c>
      <c r="M22" s="1">
        <v>5000</v>
      </c>
      <c r="N22" s="1"/>
      <c r="O22" s="1">
        <f t="shared" si="2"/>
        <v>5000</v>
      </c>
    </row>
    <row r="23" spans="2:16" x14ac:dyDescent="0.25">
      <c r="B23" s="1" t="s">
        <v>15</v>
      </c>
      <c r="C23" s="1">
        <v>1000</v>
      </c>
      <c r="D23" s="1"/>
      <c r="E23" s="1">
        <f t="shared" si="0"/>
        <v>1000</v>
      </c>
      <c r="G23" s="1" t="s">
        <v>39</v>
      </c>
      <c r="H23" s="1">
        <v>3000</v>
      </c>
      <c r="I23" s="1">
        <f>417+1485</f>
        <v>1902</v>
      </c>
      <c r="J23" s="1">
        <f t="shared" si="1"/>
        <v>1098</v>
      </c>
      <c r="L23" s="1" t="s">
        <v>21</v>
      </c>
      <c r="M23" s="1">
        <v>4500</v>
      </c>
      <c r="N23" s="1">
        <v>4500</v>
      </c>
      <c r="O23" s="1">
        <f t="shared" si="2"/>
        <v>0</v>
      </c>
    </row>
    <row r="24" spans="2:16" x14ac:dyDescent="0.25">
      <c r="B24" s="1" t="s">
        <v>16</v>
      </c>
      <c r="C24" s="1">
        <v>2000</v>
      </c>
      <c r="D24" s="1">
        <f>277</f>
        <v>277</v>
      </c>
      <c r="E24" s="1">
        <f t="shared" si="0"/>
        <v>1723</v>
      </c>
      <c r="G24" s="1" t="s">
        <v>18</v>
      </c>
      <c r="H24" s="1">
        <v>2000</v>
      </c>
      <c r="I24" s="1"/>
      <c r="J24" s="1">
        <f t="shared" si="1"/>
        <v>2000</v>
      </c>
      <c r="L24" s="1" t="s">
        <v>22</v>
      </c>
      <c r="M24" s="1"/>
      <c r="N24" s="1"/>
      <c r="O24" s="1">
        <f t="shared" si="2"/>
        <v>0</v>
      </c>
    </row>
    <row r="25" spans="2:16" x14ac:dyDescent="0.25">
      <c r="B25" s="1" t="s">
        <v>26</v>
      </c>
      <c r="C25" s="1">
        <v>500</v>
      </c>
      <c r="D25" s="1"/>
      <c r="E25" s="1">
        <f t="shared" si="0"/>
        <v>500</v>
      </c>
      <c r="G25" s="1" t="s">
        <v>32</v>
      </c>
      <c r="H25" s="1">
        <v>500</v>
      </c>
      <c r="I25" s="1">
        <f>250+60</f>
        <v>310</v>
      </c>
      <c r="J25" s="1">
        <f t="shared" si="1"/>
        <v>190</v>
      </c>
      <c r="L25" s="1" t="s">
        <v>29</v>
      </c>
      <c r="M25" s="1"/>
      <c r="N25" s="1"/>
      <c r="O25" s="1">
        <f t="shared" si="2"/>
        <v>0</v>
      </c>
    </row>
    <row r="26" spans="2:16" x14ac:dyDescent="0.25">
      <c r="B26" s="1" t="s">
        <v>37</v>
      </c>
      <c r="C26" s="1">
        <v>500</v>
      </c>
      <c r="D26" s="1"/>
      <c r="E26" s="1">
        <f t="shared" si="0"/>
        <v>500</v>
      </c>
      <c r="G26" s="1"/>
      <c r="H26" s="1"/>
      <c r="I26" s="1"/>
      <c r="J26" s="1">
        <f t="shared" si="1"/>
        <v>0</v>
      </c>
      <c r="L26" s="1" t="s">
        <v>20</v>
      </c>
      <c r="M26" s="1"/>
      <c r="N26" s="1"/>
      <c r="O26" s="1">
        <f t="shared" si="2"/>
        <v>0</v>
      </c>
    </row>
    <row r="27" spans="2:16" x14ac:dyDescent="0.25">
      <c r="B27" s="1"/>
      <c r="C27" s="1"/>
      <c r="D27" s="1"/>
      <c r="E27" s="1">
        <f t="shared" si="0"/>
        <v>0</v>
      </c>
      <c r="F27" s="3" t="s">
        <v>34</v>
      </c>
      <c r="G27" s="1"/>
      <c r="H27" s="1"/>
      <c r="I27" s="1"/>
      <c r="J27" s="1">
        <f t="shared" si="1"/>
        <v>0</v>
      </c>
      <c r="L27" s="1" t="s">
        <v>44</v>
      </c>
      <c r="M27" s="1">
        <v>500</v>
      </c>
      <c r="N27" s="1"/>
      <c r="O27" s="1">
        <f t="shared" si="2"/>
        <v>500</v>
      </c>
    </row>
    <row r="28" spans="2:16" x14ac:dyDescent="0.25">
      <c r="B28" s="1"/>
      <c r="C28" s="1"/>
      <c r="D28" s="1"/>
      <c r="E28" s="1">
        <f t="shared" si="0"/>
        <v>0</v>
      </c>
      <c r="G28" s="1" t="s">
        <v>35</v>
      </c>
      <c r="H28" s="1">
        <v>1000</v>
      </c>
      <c r="I28" s="1">
        <f>70+85+549</f>
        <v>704</v>
      </c>
      <c r="J28" s="1">
        <f t="shared" si="1"/>
        <v>296</v>
      </c>
      <c r="L28" s="1"/>
      <c r="M28" s="1"/>
      <c r="N28" s="1"/>
      <c r="O28" s="1">
        <f t="shared" si="2"/>
        <v>0</v>
      </c>
      <c r="P28" s="3" t="s">
        <v>34</v>
      </c>
    </row>
    <row r="29" spans="2:16" x14ac:dyDescent="0.25">
      <c r="B29" s="1" t="s">
        <v>38</v>
      </c>
      <c r="C29" s="1">
        <v>900</v>
      </c>
      <c r="D29" s="1"/>
      <c r="E29" s="1">
        <f t="shared" si="0"/>
        <v>900</v>
      </c>
      <c r="G29" s="1"/>
      <c r="H29" s="1"/>
      <c r="I29" s="1"/>
      <c r="J29" s="1">
        <f t="shared" si="1"/>
        <v>0</v>
      </c>
      <c r="L29" s="1" t="s">
        <v>49</v>
      </c>
      <c r="M29" s="1">
        <v>500</v>
      </c>
      <c r="N29" s="1"/>
      <c r="O29" s="1">
        <f t="shared" si="2"/>
        <v>500</v>
      </c>
    </row>
    <row r="30" spans="2:16" x14ac:dyDescent="0.25">
      <c r="B30" s="1"/>
      <c r="C30" s="1"/>
      <c r="D30" s="1"/>
      <c r="E30" s="1">
        <f t="shared" si="0"/>
        <v>0</v>
      </c>
      <c r="G30" s="1" t="s">
        <v>48</v>
      </c>
      <c r="H30" s="1"/>
      <c r="I30" s="1"/>
      <c r="J30" s="1">
        <f t="shared" si="1"/>
        <v>0</v>
      </c>
      <c r="L30" s="1"/>
      <c r="M30" s="1"/>
      <c r="N30" s="1"/>
      <c r="O30" s="1">
        <f t="shared" si="2"/>
        <v>0</v>
      </c>
    </row>
    <row r="31" spans="2:16" x14ac:dyDescent="0.25">
      <c r="B31" s="1" t="s">
        <v>43</v>
      </c>
      <c r="C31" s="1">
        <v>26690</v>
      </c>
      <c r="D31" s="1"/>
      <c r="E31" s="1">
        <f t="shared" si="0"/>
        <v>26690</v>
      </c>
      <c r="G31" s="1"/>
      <c r="H31" s="1"/>
      <c r="I31" s="1"/>
      <c r="J31" s="1">
        <f t="shared" si="1"/>
        <v>0</v>
      </c>
      <c r="L31" s="1"/>
      <c r="M31" s="1"/>
      <c r="N31" s="1"/>
      <c r="O31" s="1">
        <f t="shared" si="2"/>
        <v>0</v>
      </c>
    </row>
    <row r="32" spans="2:16" x14ac:dyDescent="0.25">
      <c r="B32" s="1" t="s">
        <v>45</v>
      </c>
      <c r="C32" s="1">
        <v>2200</v>
      </c>
      <c r="D32" s="1"/>
      <c r="E32" s="1">
        <f t="shared" si="0"/>
        <v>2200</v>
      </c>
      <c r="G32" s="1" t="s">
        <v>50</v>
      </c>
      <c r="H32" s="1">
        <v>1200</v>
      </c>
      <c r="I32" s="1">
        <v>1200.53</v>
      </c>
      <c r="J32" s="1">
        <f t="shared" si="1"/>
        <v>-0.52999999999997272</v>
      </c>
      <c r="L32" s="1"/>
      <c r="M32" s="1"/>
      <c r="N32" s="1"/>
      <c r="O32" s="1">
        <f t="shared" si="2"/>
        <v>0</v>
      </c>
    </row>
    <row r="33" spans="2:15" x14ac:dyDescent="0.25">
      <c r="B33" s="1"/>
      <c r="C33" s="1"/>
      <c r="D33" s="1"/>
      <c r="E33" s="1">
        <f t="shared" si="0"/>
        <v>0</v>
      </c>
      <c r="G33" s="1"/>
      <c r="H33" s="1"/>
      <c r="I33" s="1"/>
      <c r="J33" s="1">
        <f t="shared" si="1"/>
        <v>0</v>
      </c>
      <c r="L33" s="1"/>
      <c r="M33" s="1"/>
      <c r="N33" s="1"/>
      <c r="O33" s="1">
        <f t="shared" si="2"/>
        <v>0</v>
      </c>
    </row>
    <row r="34" spans="2:15" x14ac:dyDescent="0.25">
      <c r="B34" s="1"/>
      <c r="C34" s="1"/>
      <c r="D34" s="1"/>
      <c r="E34" s="1">
        <f t="shared" si="0"/>
        <v>0</v>
      </c>
      <c r="G34" s="1"/>
      <c r="H34" s="1"/>
      <c r="I34" s="1"/>
      <c r="J34" s="1">
        <f t="shared" si="1"/>
        <v>0</v>
      </c>
      <c r="L34" s="1"/>
      <c r="M34" s="1"/>
      <c r="N34" s="1"/>
      <c r="O34" s="1">
        <f t="shared" si="2"/>
        <v>0</v>
      </c>
    </row>
    <row r="35" spans="2:15" x14ac:dyDescent="0.25">
      <c r="B35" s="1"/>
      <c r="C35" s="1"/>
      <c r="D35" s="1"/>
      <c r="E35" s="1">
        <f t="shared" si="0"/>
        <v>0</v>
      </c>
      <c r="G35" s="1"/>
      <c r="H35" s="1"/>
      <c r="I35" s="1"/>
      <c r="J35" s="1">
        <f t="shared" si="1"/>
        <v>0</v>
      </c>
      <c r="L35" s="1"/>
      <c r="M35" s="1"/>
      <c r="N35" s="1"/>
      <c r="O35" s="1">
        <f t="shared" si="2"/>
        <v>0</v>
      </c>
    </row>
    <row r="36" spans="2:15" x14ac:dyDescent="0.25">
      <c r="B36" s="1" t="s">
        <v>6</v>
      </c>
      <c r="C36" s="1">
        <f>SUM(C21:C35)</f>
        <v>39790</v>
      </c>
      <c r="D36" s="1">
        <f>SUM(D21:D35)</f>
        <v>2390.64</v>
      </c>
      <c r="E36" s="1">
        <f>SUM(E21:E35)</f>
        <v>37399.360000000001</v>
      </c>
      <c r="G36" s="1" t="s">
        <v>6</v>
      </c>
      <c r="H36" s="1">
        <f>SUM(H21:H35)</f>
        <v>9700</v>
      </c>
      <c r="I36" s="1">
        <f>SUM(I21:I35)</f>
        <v>4683.05</v>
      </c>
      <c r="J36" s="1">
        <f>SUM(J21:J35)</f>
        <v>5016.95</v>
      </c>
      <c r="L36" s="1" t="s">
        <v>6</v>
      </c>
      <c r="M36" s="1">
        <f>SUM(M21:M35)</f>
        <v>20800</v>
      </c>
      <c r="N36" s="1">
        <f>SUM(N21:N35)</f>
        <v>4500</v>
      </c>
      <c r="O36" s="1">
        <f>SUM(O21:O35)</f>
        <v>16300</v>
      </c>
    </row>
    <row r="37" spans="2:15" x14ac:dyDescent="0.25">
      <c r="B37" s="3"/>
    </row>
    <row r="38" spans="2:15" x14ac:dyDescent="0.25">
      <c r="B38" s="3"/>
    </row>
    <row r="39" spans="2:15" ht="30" x14ac:dyDescent="0.25">
      <c r="B39" s="6" t="s">
        <v>33</v>
      </c>
      <c r="C39" s="7">
        <f>C36*12</f>
        <v>477480</v>
      </c>
      <c r="G39" s="19" t="s">
        <v>28</v>
      </c>
      <c r="H39" s="19"/>
      <c r="I39" s="19"/>
      <c r="J39" s="19"/>
      <c r="L39" s="9" t="s">
        <v>30</v>
      </c>
      <c r="M39" s="10">
        <f>(E36+J36+O36)</f>
        <v>58716.31</v>
      </c>
    </row>
    <row r="40" spans="2:15" x14ac:dyDescent="0.25">
      <c r="B40" s="3"/>
      <c r="G40" s="8" t="s">
        <v>2</v>
      </c>
      <c r="H40" s="28" t="s">
        <v>3</v>
      </c>
      <c r="I40" s="29"/>
      <c r="J40" s="30"/>
    </row>
    <row r="41" spans="2:15" x14ac:dyDescent="0.25">
      <c r="B41" s="3"/>
      <c r="G41" s="27">
        <f>H13-I13</f>
        <v>5010</v>
      </c>
      <c r="H41" s="27">
        <f>H13-J13</f>
        <v>63726.31</v>
      </c>
      <c r="I41" s="27"/>
      <c r="J41" s="27"/>
    </row>
    <row r="42" spans="2:15" x14ac:dyDescent="0.25">
      <c r="B42" s="14"/>
      <c r="G42" s="27"/>
      <c r="H42" s="27"/>
      <c r="I42" s="27"/>
      <c r="J42" s="27"/>
    </row>
    <row r="43" spans="2:15" x14ac:dyDescent="0.25">
      <c r="B43" s="14"/>
    </row>
    <row r="44" spans="2:15" x14ac:dyDescent="0.25">
      <c r="B44" s="14"/>
    </row>
    <row r="45" spans="2:15" x14ac:dyDescent="0.25">
      <c r="B45" s="3"/>
      <c r="M45" s="3" t="s">
        <v>34</v>
      </c>
    </row>
    <row r="46" spans="2:15" x14ac:dyDescent="0.25">
      <c r="B46" s="3"/>
    </row>
    <row r="47" spans="2:15" x14ac:dyDescent="0.25">
      <c r="B47" s="3"/>
    </row>
    <row r="48" spans="2:15" x14ac:dyDescent="0.25">
      <c r="B48" s="3"/>
    </row>
    <row r="49" spans="2:8" x14ac:dyDescent="0.25">
      <c r="B49" s="3"/>
    </row>
    <row r="50" spans="2:8" x14ac:dyDescent="0.25">
      <c r="B50" s="3"/>
    </row>
    <row r="51" spans="2:8" x14ac:dyDescent="0.25">
      <c r="B51" s="3"/>
    </row>
    <row r="52" spans="2:8" x14ac:dyDescent="0.25">
      <c r="B52" s="3"/>
    </row>
    <row r="53" spans="2:8" x14ac:dyDescent="0.25">
      <c r="B53" s="3"/>
      <c r="H53" s="12"/>
    </row>
    <row r="54" spans="2:8" x14ac:dyDescent="0.25">
      <c r="B54" s="3"/>
      <c r="H54" s="12"/>
    </row>
    <row r="55" spans="2:8" x14ac:dyDescent="0.25">
      <c r="B55" s="3"/>
      <c r="H55" s="12"/>
    </row>
    <row r="56" spans="2:8" x14ac:dyDescent="0.25">
      <c r="B56" s="3"/>
      <c r="H56" s="12"/>
    </row>
    <row r="57" spans="2:8" x14ac:dyDescent="0.25">
      <c r="B57" s="3"/>
      <c r="H57" s="12"/>
    </row>
    <row r="58" spans="2:8" x14ac:dyDescent="0.25">
      <c r="B58" s="3"/>
      <c r="H58" s="12"/>
    </row>
    <row r="59" spans="2:8" x14ac:dyDescent="0.25">
      <c r="B59" s="3"/>
      <c r="H59" s="12"/>
    </row>
    <row r="60" spans="2:8" x14ac:dyDescent="0.25">
      <c r="B60" s="3"/>
      <c r="H60" s="12"/>
    </row>
    <row r="61" spans="2:8" x14ac:dyDescent="0.25">
      <c r="B61" s="3"/>
      <c r="H61" s="12"/>
    </row>
    <row r="62" spans="2:8" x14ac:dyDescent="0.25">
      <c r="B62" s="3"/>
      <c r="H62" s="12"/>
    </row>
    <row r="63" spans="2:8" x14ac:dyDescent="0.25">
      <c r="B63" s="3"/>
      <c r="H63" s="12"/>
    </row>
    <row r="64" spans="2:8" x14ac:dyDescent="0.25">
      <c r="B64" s="3"/>
      <c r="H64" s="12"/>
    </row>
    <row r="65" spans="2:8" x14ac:dyDescent="0.25">
      <c r="B65" s="3"/>
      <c r="H65" s="12"/>
    </row>
    <row r="66" spans="2:8" x14ac:dyDescent="0.25">
      <c r="B66" s="3"/>
      <c r="H66" s="12"/>
    </row>
    <row r="67" spans="2:8" x14ac:dyDescent="0.25">
      <c r="B67" s="3"/>
      <c r="H67" s="12"/>
    </row>
    <row r="68" spans="2:8" x14ac:dyDescent="0.25">
      <c r="B68" s="3"/>
      <c r="H68" s="12"/>
    </row>
    <row r="69" spans="2:8" x14ac:dyDescent="0.25">
      <c r="B69" s="3"/>
      <c r="H69" s="12"/>
    </row>
    <row r="70" spans="2:8" x14ac:dyDescent="0.25">
      <c r="B70" s="3"/>
      <c r="H70" s="12"/>
    </row>
    <row r="71" spans="2:8" x14ac:dyDescent="0.25">
      <c r="B71" s="3"/>
      <c r="H71" s="12"/>
    </row>
    <row r="72" spans="2:8" x14ac:dyDescent="0.25">
      <c r="B72" s="3"/>
      <c r="H72" s="12"/>
    </row>
    <row r="73" spans="2:8" x14ac:dyDescent="0.25">
      <c r="B73" s="3"/>
      <c r="H73" s="12"/>
    </row>
    <row r="74" spans="2:8" x14ac:dyDescent="0.25">
      <c r="B74" s="3"/>
      <c r="H74" s="12"/>
    </row>
    <row r="75" spans="2:8" x14ac:dyDescent="0.25">
      <c r="B75" s="3"/>
      <c r="H75" s="12"/>
    </row>
    <row r="76" spans="2:8" x14ac:dyDescent="0.25">
      <c r="B76" s="3"/>
      <c r="H76" s="12"/>
    </row>
    <row r="77" spans="2:8" x14ac:dyDescent="0.25">
      <c r="B77" s="3"/>
      <c r="H77" s="12"/>
    </row>
    <row r="78" spans="2:8" x14ac:dyDescent="0.25">
      <c r="B78" s="3"/>
      <c r="H78" s="12"/>
    </row>
    <row r="79" spans="2:8" x14ac:dyDescent="0.25">
      <c r="B79" s="3"/>
      <c r="H79" s="12"/>
    </row>
    <row r="80" spans="2:8" x14ac:dyDescent="0.25">
      <c r="B80" s="3"/>
      <c r="H80" s="12"/>
    </row>
    <row r="81" spans="2:8" x14ac:dyDescent="0.25">
      <c r="B81" s="3"/>
      <c r="H81" s="12"/>
    </row>
    <row r="82" spans="2:8" x14ac:dyDescent="0.25">
      <c r="B82" s="3"/>
      <c r="H82" s="12"/>
    </row>
    <row r="83" spans="2:8" x14ac:dyDescent="0.25">
      <c r="B83" s="3"/>
      <c r="H83" s="12"/>
    </row>
    <row r="84" spans="2:8" x14ac:dyDescent="0.25">
      <c r="B84" s="3"/>
      <c r="H84" s="12"/>
    </row>
    <row r="85" spans="2:8" x14ac:dyDescent="0.25">
      <c r="B85" s="3"/>
      <c r="H85" s="12"/>
    </row>
    <row r="86" spans="2:8" x14ac:dyDescent="0.25">
      <c r="B86" s="3"/>
      <c r="H86" s="12"/>
    </row>
    <row r="87" spans="2:8" x14ac:dyDescent="0.25">
      <c r="B87" s="3"/>
      <c r="H87" s="12"/>
    </row>
    <row r="88" spans="2:8" x14ac:dyDescent="0.25">
      <c r="B88" s="3"/>
      <c r="H88" s="12"/>
    </row>
    <row r="89" spans="2:8" x14ac:dyDescent="0.25">
      <c r="B89" s="3"/>
      <c r="H89" s="12"/>
    </row>
    <row r="90" spans="2:8" x14ac:dyDescent="0.25">
      <c r="B90" s="3"/>
      <c r="H90" s="12"/>
    </row>
    <row r="91" spans="2:8" x14ac:dyDescent="0.25">
      <c r="B91" s="3"/>
      <c r="H91" s="12"/>
    </row>
    <row r="92" spans="2:8" x14ac:dyDescent="0.25">
      <c r="B92" s="3"/>
    </row>
    <row r="93" spans="2:8" x14ac:dyDescent="0.25">
      <c r="B93" s="3"/>
    </row>
    <row r="94" spans="2:8" x14ac:dyDescent="0.25">
      <c r="B94" s="3"/>
    </row>
    <row r="95" spans="2:8" x14ac:dyDescent="0.25">
      <c r="B95" s="3"/>
    </row>
    <row r="96" spans="2:8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4" x14ac:dyDescent="0.25">
      <c r="B177" s="3"/>
    </row>
    <row r="178" spans="2:4" x14ac:dyDescent="0.25">
      <c r="B178" s="3"/>
    </row>
    <row r="179" spans="2:4" x14ac:dyDescent="0.25">
      <c r="B179" s="3"/>
    </row>
    <row r="180" spans="2:4" x14ac:dyDescent="0.25">
      <c r="B180" s="3"/>
    </row>
    <row r="181" spans="2:4" x14ac:dyDescent="0.25">
      <c r="B181" s="3"/>
    </row>
    <row r="182" spans="2:4" x14ac:dyDescent="0.25">
      <c r="B182" s="3"/>
    </row>
    <row r="183" spans="2:4" x14ac:dyDescent="0.25">
      <c r="B183" s="3"/>
    </row>
    <row r="184" spans="2:4" x14ac:dyDescent="0.25">
      <c r="B184" s="3"/>
    </row>
    <row r="185" spans="2:4" x14ac:dyDescent="0.25">
      <c r="D185" s="16"/>
    </row>
    <row r="186" spans="2:4" x14ac:dyDescent="0.25">
      <c r="D186" s="16"/>
    </row>
    <row r="187" spans="2:4" x14ac:dyDescent="0.25">
      <c r="D187" s="16"/>
    </row>
    <row r="188" spans="2:4" x14ac:dyDescent="0.25">
      <c r="D188" s="16"/>
    </row>
    <row r="189" spans="2:4" x14ac:dyDescent="0.25">
      <c r="D189" s="16"/>
    </row>
    <row r="190" spans="2:4" x14ac:dyDescent="0.25">
      <c r="D190" s="16"/>
    </row>
    <row r="191" spans="2:4" x14ac:dyDescent="0.25">
      <c r="D191" s="16"/>
    </row>
    <row r="192" spans="2:4" x14ac:dyDescent="0.25">
      <c r="D192" s="16"/>
    </row>
    <row r="193" spans="4:4" x14ac:dyDescent="0.25">
      <c r="D193" s="16"/>
    </row>
    <row r="194" spans="4:4" x14ac:dyDescent="0.25">
      <c r="D194" s="16"/>
    </row>
    <row r="195" spans="4:4" x14ac:dyDescent="0.25">
      <c r="D195" s="16"/>
    </row>
    <row r="196" spans="4:4" x14ac:dyDescent="0.25">
      <c r="D196" s="16"/>
    </row>
    <row r="197" spans="4:4" x14ac:dyDescent="0.25">
      <c r="D197" s="16"/>
    </row>
    <row r="198" spans="4:4" x14ac:dyDescent="0.25">
      <c r="D198" s="16"/>
    </row>
    <row r="199" spans="4:4" x14ac:dyDescent="0.25">
      <c r="D199" s="16"/>
    </row>
    <row r="200" spans="4:4" x14ac:dyDescent="0.25">
      <c r="D200" s="16"/>
    </row>
    <row r="201" spans="4:4" x14ac:dyDescent="0.25">
      <c r="D201" s="16"/>
    </row>
    <row r="202" spans="4:4" x14ac:dyDescent="0.25">
      <c r="D202" s="16"/>
    </row>
    <row r="203" spans="4:4" x14ac:dyDescent="0.25">
      <c r="D203" s="16"/>
    </row>
    <row r="204" spans="4:4" x14ac:dyDescent="0.25">
      <c r="D204" s="16"/>
    </row>
    <row r="205" spans="4:4" x14ac:dyDescent="0.25">
      <c r="D205" s="16"/>
    </row>
    <row r="206" spans="4:4" x14ac:dyDescent="0.25">
      <c r="D206" s="16"/>
    </row>
    <row r="207" spans="4:4" x14ac:dyDescent="0.25">
      <c r="D207" s="16"/>
    </row>
  </sheetData>
  <autoFilter ref="B47:F70" xr:uid="{13A0EA4A-056D-2040-AD7A-B7BC3E5C5AFF}"/>
  <mergeCells count="12">
    <mergeCell ref="L7:O8"/>
    <mergeCell ref="B18:E19"/>
    <mergeCell ref="G18:J19"/>
    <mergeCell ref="L18:O19"/>
    <mergeCell ref="H40:J40"/>
    <mergeCell ref="G41:G42"/>
    <mergeCell ref="H41:J42"/>
    <mergeCell ref="B2:E3"/>
    <mergeCell ref="B4:E5"/>
    <mergeCell ref="B7:E8"/>
    <mergeCell ref="G7:J8"/>
    <mergeCell ref="G39:J39"/>
  </mergeCells>
  <conditionalFormatting sqref="G40:H41"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SHINDE</dc:creator>
  <cp:lastModifiedBy>PRATHMESH SHINDE</cp:lastModifiedBy>
  <dcterms:created xsi:type="dcterms:W3CDTF">2025-07-26T11:35:29Z</dcterms:created>
  <dcterms:modified xsi:type="dcterms:W3CDTF">2026-04-11T15:19:15Z</dcterms:modified>
</cp:coreProperties>
</file>